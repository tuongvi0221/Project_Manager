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<sst xmlns="http://schemas.openxmlformats.org/spreadsheetml/2006/main" count="102" uniqueCount="92">
  <si>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Mã công việc</t>
  </si>
  <si>
    <t>Tên công việc</t>
  </si>
  <si>
    <t xml:space="preserve">Thời gian thực hiện </t>
  </si>
  <si>
    <t>Mốc thời gian cụ thể</t>
  </si>
  <si>
    <t>Chi phí</t>
  </si>
  <si>
    <t>1.1.1</t>
  </si>
  <si>
    <t>Lập kế hoạch quản lí phạm vi</t>
  </si>
  <si>
    <t>14/03/2024 - 15/03/2024</t>
  </si>
  <si>
    <t>1.1.2</t>
  </si>
  <si>
    <t>Thu thập yêu cầu</t>
  </si>
  <si>
    <t>18/03/2024 - 19/03/2024</t>
  </si>
  <si>
    <t>1.1.3</t>
  </si>
  <si>
    <t>Định nghĩa phạm vi</t>
  </si>
  <si>
    <t>19/03/2024 - 21/03/2024</t>
  </si>
  <si>
    <t>1.1.4</t>
  </si>
  <si>
    <t>Tạo WBS</t>
  </si>
  <si>
    <t>21/03/2024 - 22/03/2024</t>
  </si>
  <si>
    <t>1.1.5</t>
  </si>
  <si>
    <t>Kiểm tra phạm vi</t>
  </si>
  <si>
    <t>25/03/2024 - 27/03/2024</t>
  </si>
  <si>
    <t>1.1.6</t>
  </si>
  <si>
    <t>Kiểm soát phạm vi</t>
  </si>
  <si>
    <t>26/03/2024 - 29/03/2024</t>
  </si>
  <si>
    <t>1.2.1</t>
  </si>
  <si>
    <t>Lập kế hoạch quản lí thời gian</t>
  </si>
  <si>
    <t>01/04/2024 - 02/04/2024</t>
  </si>
  <si>
    <t>1.2.2</t>
  </si>
  <si>
    <t>Xác định các hoạt động</t>
  </si>
  <si>
    <t>01/04/2024 - 03/04/2024</t>
  </si>
  <si>
    <t>1.2.3</t>
  </si>
  <si>
    <t>Sắp xếp thứ tự các hoạt động</t>
  </si>
  <si>
    <t>04/04/2024 - 05/04/2024</t>
  </si>
  <si>
    <t>1.2.4</t>
  </si>
  <si>
    <t>Ước lượng thời gian cho mỗi hoạt động</t>
  </si>
  <si>
    <t>1.2.5</t>
  </si>
  <si>
    <t>Phát triển lịch biểu</t>
  </si>
  <si>
    <t>08/04/2024 - 12/04/2024</t>
  </si>
  <si>
    <t>1.2.6</t>
  </si>
  <si>
    <t>Kiểm soát lịch biểu</t>
  </si>
  <si>
    <t>15/04/2024 - 16/04/2024</t>
  </si>
  <si>
    <t>Quản lí nguồn lực</t>
  </si>
  <si>
    <t>15/04/2024 - 17/04/2024</t>
  </si>
  <si>
    <t>2.1.1</t>
  </si>
  <si>
    <t>Xác định các yêu cầu chức năng</t>
  </si>
  <si>
    <t>18/04/2024 - 19/04/2024</t>
  </si>
  <si>
    <t>2.1.2</t>
  </si>
  <si>
    <t>Xác định các yêu cầu phi chức năng</t>
  </si>
  <si>
    <t>22/04/2024 - 23/04/2024</t>
  </si>
  <si>
    <t>2.2.1</t>
  </si>
  <si>
    <t>Thiết kế wireframes</t>
  </si>
  <si>
    <t>24/04/2024 - 26/04/2024</t>
  </si>
  <si>
    <t>2.2.2</t>
  </si>
  <si>
    <t>Thiết kế giao diện trang thông tin nội bộ</t>
  </si>
  <si>
    <t>02/05/2024 - 03/05/2024</t>
  </si>
  <si>
    <t>2.2.3</t>
  </si>
  <si>
    <t>Thiết kế giao diện trang biểu mẫu và tài liệu</t>
  </si>
  <si>
    <t>06/05/2024 - 07/03/2024</t>
  </si>
  <si>
    <t>2.2.4</t>
  </si>
  <si>
    <t>Thiết kế giao diện trang người dùng</t>
  </si>
  <si>
    <t>2.3.1</t>
  </si>
  <si>
    <t>Thiết kế ERD</t>
  </si>
  <si>
    <t>08/05/2024 - 10/05/2024</t>
  </si>
  <si>
    <t>2.3.2</t>
  </si>
  <si>
    <t>Ràng buộc toàn vẹn</t>
  </si>
  <si>
    <t>2.3.3</t>
  </si>
  <si>
    <t>Thiết kế các bảng dữ liệu và quan hệ</t>
  </si>
  <si>
    <t>2.3.4</t>
  </si>
  <si>
    <t>Thiết kế schema cho cơ sở dữ liệu</t>
  </si>
  <si>
    <t>3.1.1</t>
  </si>
  <si>
    <t>Xây dựng trang Login</t>
  </si>
  <si>
    <t>13/05/2024 - 13/05/2024</t>
  </si>
  <si>
    <t>3.1.2</t>
  </si>
  <si>
    <t>Xây dựng trang Thư viện tài liệu và quy chế</t>
  </si>
  <si>
    <t>14/05/2024 - 17/05/2024</t>
  </si>
  <si>
    <t>3.1.3</t>
  </si>
  <si>
    <t>Xây dựng trang thông báo</t>
  </si>
  <si>
    <t>17/05/2024 - 24/05/2024</t>
  </si>
  <si>
    <t>3.1.4</t>
  </si>
  <si>
    <t>Xây dựng trang User (Admin, Users)</t>
  </si>
  <si>
    <t>27/05/2024 - 02/06/2024</t>
  </si>
  <si>
    <t>3.2.1</t>
  </si>
  <si>
    <t>Phát triển Api Login</t>
  </si>
  <si>
    <t>3.2.2</t>
  </si>
  <si>
    <t>Phát triển Api Thư viện tài liệu, quy chế</t>
  </si>
  <si>
    <t>3.2.3</t>
  </si>
  <si>
    <t>Phát triển Api Bảng tin, Truyền thông, Lịch</t>
  </si>
  <si>
    <t>3.2.4</t>
  </si>
  <si>
    <t>Phát triển Api Admin, Users</t>
  </si>
  <si>
    <t>Thử nghiệm Alpha</t>
  </si>
  <si>
    <t>03/06/2024 - 04/06/2024</t>
  </si>
  <si>
    <t>Thử nghiệm Beta</t>
  </si>
  <si>
    <t>Tổng chi phí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</si>
</sst>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3">
    <font>
      <sz val="11"/>
      <color theme="1"/>
      <name val="Calibri"/>
      <charset val="134"/>
      <scheme val="minor"/>
    </font>
    <font>
      <sz val="13"/>
      <color rgb="FF000000"/>
      <name val="Times New Roman"/>
      <charset val="0"/>
    </font>
    <font>
      <sz val="13"/>
      <color theme="1"/>
      <name val="Times New Roman"/>
      <charset val="134"/>
    </font>
    <font>
      <sz val="13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176" fontId="2" fillId="0" borderId="1" xfId="1" applyFont="1" applyBorder="1" applyAlignment="1">
      <alignment horizontal="center" vertical="center"/>
    </xf>
    <xf numFmtId="0" fontId="1" fillId="0" borderId="1" xfId="0" applyFont="1" applyFill="1" applyBorder="1" applyAlignment="1"/>
    <xf numFmtId="178" fontId="3" fillId="0" borderId="1" xfId="1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K8" sqref="K8"/>
    </sheetView>
  </sheetViews>
  <sheetFormatPr defaultColWidth="8.61261261261261" defaultRowHeight="14.55" outlineLevelCol="4"/>
  <cols>
    <col min="1" max="1" width="14.5045045045045" customWidth="1"/>
    <col min="2" max="2" width="46.0720720720721" customWidth="1"/>
    <col min="3" max="3" width="21.4864864864865" customWidth="1"/>
    <col min="4" max="4" width="26.6486486486486" customWidth="1"/>
    <col min="5" max="5" width="15.1801801801802" customWidth="1"/>
  </cols>
  <sheetData>
    <row r="1" ht="16.25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6.25" spans="1:5">
      <c r="A2" s="1" t="s">
        <v>5</v>
      </c>
      <c r="B2" s="3" t="s">
        <v>6</v>
      </c>
      <c r="C2" s="1">
        <v>2</v>
      </c>
      <c r="D2" s="1" t="s">
        <v>7</v>
      </c>
      <c r="E2" s="4">
        <f t="shared" ref="E2:E34" si="0">PRODUCT(C2,1500000)</f>
        <v>3000000</v>
      </c>
    </row>
    <row r="3" ht="16.25" spans="1:5">
      <c r="A3" s="1" t="s">
        <v>8</v>
      </c>
      <c r="B3" s="3" t="s">
        <v>9</v>
      </c>
      <c r="C3" s="1">
        <v>2</v>
      </c>
      <c r="D3" s="1" t="s">
        <v>10</v>
      </c>
      <c r="E3" s="4">
        <f t="shared" si="0"/>
        <v>3000000</v>
      </c>
    </row>
    <row r="4" ht="16.25" spans="1:5">
      <c r="A4" s="1" t="s">
        <v>11</v>
      </c>
      <c r="B4" s="3" t="s">
        <v>12</v>
      </c>
      <c r="C4" s="1">
        <v>3</v>
      </c>
      <c r="D4" s="1" t="s">
        <v>13</v>
      </c>
      <c r="E4" s="4">
        <f t="shared" si="0"/>
        <v>4500000</v>
      </c>
    </row>
    <row r="5" ht="16.25" spans="1:5">
      <c r="A5" s="1" t="s">
        <v>14</v>
      </c>
      <c r="B5" s="3" t="s">
        <v>15</v>
      </c>
      <c r="C5" s="1">
        <v>2</v>
      </c>
      <c r="D5" s="1" t="s">
        <v>16</v>
      </c>
      <c r="E5" s="4">
        <f t="shared" si="0"/>
        <v>3000000</v>
      </c>
    </row>
    <row r="6" ht="16.25" spans="1:5">
      <c r="A6" s="1" t="s">
        <v>17</v>
      </c>
      <c r="B6" s="3" t="s">
        <v>18</v>
      </c>
      <c r="C6" s="1">
        <v>3</v>
      </c>
      <c r="D6" s="1" t="s">
        <v>19</v>
      </c>
      <c r="E6" s="4">
        <f t="shared" si="0"/>
        <v>4500000</v>
      </c>
    </row>
    <row r="7" ht="16.25" spans="1:5">
      <c r="A7" s="1" t="s">
        <v>20</v>
      </c>
      <c r="B7" s="3" t="s">
        <v>21</v>
      </c>
      <c r="C7" s="1">
        <v>2</v>
      </c>
      <c r="D7" s="1" t="s">
        <v>22</v>
      </c>
      <c r="E7" s="4">
        <f t="shared" si="0"/>
        <v>3000000</v>
      </c>
    </row>
    <row r="8" ht="16.25" spans="1:5">
      <c r="A8" s="1" t="s">
        <v>23</v>
      </c>
      <c r="B8" s="3" t="s">
        <v>24</v>
      </c>
      <c r="C8" s="1">
        <v>2</v>
      </c>
      <c r="D8" s="1" t="s">
        <v>25</v>
      </c>
      <c r="E8" s="4">
        <f t="shared" si="0"/>
        <v>3000000</v>
      </c>
    </row>
    <row r="9" ht="16.25" spans="1:5">
      <c r="A9" s="1" t="s">
        <v>26</v>
      </c>
      <c r="B9" s="3" t="s">
        <v>27</v>
      </c>
      <c r="C9" s="1">
        <v>3</v>
      </c>
      <c r="D9" s="1" t="s">
        <v>28</v>
      </c>
      <c r="E9" s="4">
        <f t="shared" si="0"/>
        <v>4500000</v>
      </c>
    </row>
    <row r="10" ht="16.25" spans="1:5">
      <c r="A10" s="1" t="s">
        <v>29</v>
      </c>
      <c r="B10" s="3" t="s">
        <v>30</v>
      </c>
      <c r="C10" s="1">
        <v>2</v>
      </c>
      <c r="D10" s="1" t="s">
        <v>31</v>
      </c>
      <c r="E10" s="4">
        <f t="shared" si="0"/>
        <v>3000000</v>
      </c>
    </row>
    <row r="11" ht="16.25" spans="1:5">
      <c r="A11" s="1" t="s">
        <v>32</v>
      </c>
      <c r="B11" s="3" t="s">
        <v>33</v>
      </c>
      <c r="C11" s="1">
        <v>2</v>
      </c>
      <c r="D11" s="1" t="s">
        <v>31</v>
      </c>
      <c r="E11" s="4">
        <f t="shared" si="0"/>
        <v>3000000</v>
      </c>
    </row>
    <row r="12" ht="16.25" spans="1:5">
      <c r="A12" s="1" t="s">
        <v>34</v>
      </c>
      <c r="B12" s="3" t="s">
        <v>35</v>
      </c>
      <c r="C12" s="1">
        <v>3</v>
      </c>
      <c r="D12" s="1" t="s">
        <v>36</v>
      </c>
      <c r="E12" s="4">
        <f t="shared" si="0"/>
        <v>4500000</v>
      </c>
    </row>
    <row r="13" ht="16.25" spans="1:5">
      <c r="A13" s="1" t="s">
        <v>37</v>
      </c>
      <c r="B13" s="3" t="s">
        <v>38</v>
      </c>
      <c r="C13" s="1">
        <v>2</v>
      </c>
      <c r="D13" s="1" t="s">
        <v>39</v>
      </c>
      <c r="E13" s="4">
        <f t="shared" si="0"/>
        <v>3000000</v>
      </c>
    </row>
    <row r="14" ht="16.25" spans="1:5">
      <c r="A14" s="1">
        <v>1.3</v>
      </c>
      <c r="B14" s="3" t="s">
        <v>40</v>
      </c>
      <c r="C14" s="1">
        <v>3</v>
      </c>
      <c r="D14" s="1" t="s">
        <v>41</v>
      </c>
      <c r="E14" s="4">
        <f t="shared" si="0"/>
        <v>4500000</v>
      </c>
    </row>
    <row r="15" ht="16.25" spans="1:5">
      <c r="A15" s="1" t="s">
        <v>42</v>
      </c>
      <c r="B15" s="3" t="s">
        <v>43</v>
      </c>
      <c r="C15" s="1">
        <v>2</v>
      </c>
      <c r="D15" s="1" t="s">
        <v>44</v>
      </c>
      <c r="E15" s="4">
        <f t="shared" si="0"/>
        <v>3000000</v>
      </c>
    </row>
    <row r="16" ht="16.25" spans="1:5">
      <c r="A16" s="1" t="s">
        <v>45</v>
      </c>
      <c r="B16" s="3" t="s">
        <v>46</v>
      </c>
      <c r="C16" s="1">
        <v>2</v>
      </c>
      <c r="D16" s="1" t="s">
        <v>47</v>
      </c>
      <c r="E16" s="4">
        <f t="shared" si="0"/>
        <v>3000000</v>
      </c>
    </row>
    <row r="17" ht="16.25" spans="1:5">
      <c r="A17" s="1" t="s">
        <v>48</v>
      </c>
      <c r="B17" s="3" t="s">
        <v>49</v>
      </c>
      <c r="C17" s="1">
        <v>3</v>
      </c>
      <c r="D17" s="1" t="s">
        <v>50</v>
      </c>
      <c r="E17" s="4">
        <f t="shared" si="0"/>
        <v>4500000</v>
      </c>
    </row>
    <row r="18" ht="16.25" spans="1:5">
      <c r="A18" s="1" t="s">
        <v>51</v>
      </c>
      <c r="B18" s="3" t="s">
        <v>52</v>
      </c>
      <c r="C18" s="1">
        <v>2</v>
      </c>
      <c r="D18" s="1" t="s">
        <v>53</v>
      </c>
      <c r="E18" s="4">
        <f t="shared" si="0"/>
        <v>3000000</v>
      </c>
    </row>
    <row r="19" ht="16.25" spans="1:5">
      <c r="A19" s="1" t="s">
        <v>54</v>
      </c>
      <c r="B19" s="3" t="s">
        <v>55</v>
      </c>
      <c r="C19" s="1">
        <v>2</v>
      </c>
      <c r="D19" s="1" t="s">
        <v>56</v>
      </c>
      <c r="E19" s="4">
        <f t="shared" si="0"/>
        <v>3000000</v>
      </c>
    </row>
    <row r="20" ht="16.25" spans="1:5">
      <c r="A20" s="1" t="s">
        <v>57</v>
      </c>
      <c r="B20" s="3" t="s">
        <v>58</v>
      </c>
      <c r="C20" s="1">
        <v>2</v>
      </c>
      <c r="D20" s="1" t="s">
        <v>56</v>
      </c>
      <c r="E20" s="4">
        <f t="shared" si="0"/>
        <v>3000000</v>
      </c>
    </row>
    <row r="21" ht="16.25" spans="1:5">
      <c r="A21" s="1" t="s">
        <v>59</v>
      </c>
      <c r="B21" s="3" t="s">
        <v>60</v>
      </c>
      <c r="C21" s="1">
        <v>3</v>
      </c>
      <c r="D21" s="1" t="s">
        <v>61</v>
      </c>
      <c r="E21" s="4">
        <f t="shared" si="0"/>
        <v>4500000</v>
      </c>
    </row>
    <row r="22" ht="16.25" spans="1:5">
      <c r="A22" s="1" t="s">
        <v>62</v>
      </c>
      <c r="B22" s="3" t="s">
        <v>63</v>
      </c>
      <c r="C22" s="1">
        <v>3</v>
      </c>
      <c r="D22" s="1" t="s">
        <v>61</v>
      </c>
      <c r="E22" s="4">
        <f t="shared" si="0"/>
        <v>4500000</v>
      </c>
    </row>
    <row r="23" ht="16.25" spans="1:5">
      <c r="A23" s="1" t="s">
        <v>64</v>
      </c>
      <c r="B23" s="3" t="s">
        <v>65</v>
      </c>
      <c r="C23" s="1">
        <v>3</v>
      </c>
      <c r="D23" s="1" t="s">
        <v>61</v>
      </c>
      <c r="E23" s="4">
        <f t="shared" si="0"/>
        <v>4500000</v>
      </c>
    </row>
    <row r="24" ht="16.25" spans="1:5">
      <c r="A24" s="1" t="s">
        <v>66</v>
      </c>
      <c r="B24" s="3" t="s">
        <v>67</v>
      </c>
      <c r="C24" s="1">
        <v>3</v>
      </c>
      <c r="D24" s="1" t="s">
        <v>61</v>
      </c>
      <c r="E24" s="4">
        <f t="shared" si="0"/>
        <v>4500000</v>
      </c>
    </row>
    <row r="25" ht="16.25" spans="1:5">
      <c r="A25" s="1" t="s">
        <v>68</v>
      </c>
      <c r="B25" s="3" t="s">
        <v>69</v>
      </c>
      <c r="C25" s="1">
        <v>1</v>
      </c>
      <c r="D25" s="1" t="s">
        <v>70</v>
      </c>
      <c r="E25" s="4">
        <f t="shared" si="0"/>
        <v>1500000</v>
      </c>
    </row>
    <row r="26" ht="16.25" spans="1:5">
      <c r="A26" s="1" t="s">
        <v>71</v>
      </c>
      <c r="B26" s="3" t="s">
        <v>72</v>
      </c>
      <c r="C26" s="1">
        <v>4</v>
      </c>
      <c r="D26" s="1" t="s">
        <v>73</v>
      </c>
      <c r="E26" s="4">
        <f t="shared" si="0"/>
        <v>6000000</v>
      </c>
    </row>
    <row r="27" ht="16.25" spans="1:5">
      <c r="A27" s="1" t="s">
        <v>74</v>
      </c>
      <c r="B27" s="3" t="s">
        <v>75</v>
      </c>
      <c r="C27" s="1">
        <v>8</v>
      </c>
      <c r="D27" s="1" t="s">
        <v>76</v>
      </c>
      <c r="E27" s="4">
        <f t="shared" si="0"/>
        <v>12000000</v>
      </c>
    </row>
    <row r="28" ht="16.25" spans="1:5">
      <c r="A28" s="1" t="s">
        <v>77</v>
      </c>
      <c r="B28" s="3" t="s">
        <v>78</v>
      </c>
      <c r="C28" s="1">
        <v>7</v>
      </c>
      <c r="D28" s="1" t="s">
        <v>79</v>
      </c>
      <c r="E28" s="4">
        <f t="shared" si="0"/>
        <v>10500000</v>
      </c>
    </row>
    <row r="29" ht="16.25" spans="1:5">
      <c r="A29" s="1" t="s">
        <v>80</v>
      </c>
      <c r="B29" s="3" t="s">
        <v>81</v>
      </c>
      <c r="C29" s="1">
        <v>1</v>
      </c>
      <c r="D29" s="1" t="s">
        <v>70</v>
      </c>
      <c r="E29" s="4">
        <f t="shared" si="0"/>
        <v>1500000</v>
      </c>
    </row>
    <row r="30" ht="16.25" spans="1:5">
      <c r="A30" s="1" t="s">
        <v>82</v>
      </c>
      <c r="B30" s="3" t="s">
        <v>83</v>
      </c>
      <c r="C30" s="1">
        <v>4</v>
      </c>
      <c r="D30" s="1" t="s">
        <v>73</v>
      </c>
      <c r="E30" s="4">
        <f t="shared" si="0"/>
        <v>6000000</v>
      </c>
    </row>
    <row r="31" ht="16.25" spans="1:5">
      <c r="A31" s="1" t="s">
        <v>84</v>
      </c>
      <c r="B31" s="3" t="s">
        <v>85</v>
      </c>
      <c r="C31" s="1">
        <v>8</v>
      </c>
      <c r="D31" s="1" t="s">
        <v>76</v>
      </c>
      <c r="E31" s="4">
        <f t="shared" si="0"/>
        <v>12000000</v>
      </c>
    </row>
    <row r="32" ht="16.25" spans="1:5">
      <c r="A32" s="1" t="s">
        <v>86</v>
      </c>
      <c r="B32" s="3" t="s">
        <v>87</v>
      </c>
      <c r="C32" s="1">
        <v>7</v>
      </c>
      <c r="D32" s="1" t="s">
        <v>79</v>
      </c>
      <c r="E32" s="4">
        <f t="shared" si="0"/>
        <v>10500000</v>
      </c>
    </row>
    <row r="33" ht="16.25" spans="1:5">
      <c r="A33" s="1">
        <v>4.1</v>
      </c>
      <c r="B33" s="3" t="s">
        <v>88</v>
      </c>
      <c r="C33" s="1">
        <v>3</v>
      </c>
      <c r="D33" s="1" t="s">
        <v>89</v>
      </c>
      <c r="E33" s="4">
        <f t="shared" si="0"/>
        <v>4500000</v>
      </c>
    </row>
    <row r="34" ht="16.25" spans="1:5">
      <c r="A34" s="1">
        <v>4.2</v>
      </c>
      <c r="B34" s="3" t="s">
        <v>90</v>
      </c>
      <c r="C34" s="1">
        <v>3</v>
      </c>
      <c r="D34" s="1" t="s">
        <v>89</v>
      </c>
      <c r="E34" s="4">
        <f t="shared" si="0"/>
        <v>4500000</v>
      </c>
    </row>
    <row r="35" ht="16.25" spans="1:5">
      <c r="A35" s="5" t="s">
        <v>91</v>
      </c>
      <c r="B35" s="6"/>
      <c r="C35" s="6"/>
      <c r="D35" s="6"/>
      <c r="E35" s="7">
        <f>SUM(E2:E34)</f>
        <v>153000000</v>
      </c>
    </row>
  </sheetData>
  <mergeCells count="1">
    <mergeCell ref="A35:D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</dc:creator>
  <cp:lastModifiedBy>Quý Nguyễn Hoàng</cp:lastModifiedBy>
  <dcterms:created xsi:type="dcterms:W3CDTF">2024-05-07T14:26:38Z</dcterms:created>
  <dcterms:modified xsi:type="dcterms:W3CDTF">2024-05-07T14:43:03Z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4A45BF6189CB454E84324178DF4A3BC8_11</vt:lpwstr>
  </property>
  <property fmtid="{D5CDD505-2E9C-101B-9397-08002B2CF9AE}" pid="3" name="KSOProductBuildVer">
    <vt:lpwstr>1033-12.2.0.16909</vt:lpwstr>
  </property>
</Properties>
</file>